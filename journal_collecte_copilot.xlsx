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de collecte" sheetId="1" state="visible" r:id="rId3"/>
    <sheet name="Synthèse automatique" sheetId="2" state="visible" r:id="rId4"/>
    <sheet name="Guide de rempliss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<sst xmlns="http://schemas.openxmlformats.org/spreadsheetml/2006/main" count="278" uniqueCount="136">
  <si>
    <t xml:space="preserve">JOURNAL DE COLLECTE — Usage de Copilot dans Power BI | OPmobility Direction Achats C-POWER</t>
  </si>
  <si>
    <t xml:space="preserve">Instructions : Remplissez une ligne par tâche BI réalisée avec ou sans Copilot. Soyez précis sur le temps (chronomètre recommandé) et les scores (1=très mauvais, 5=excellent).</t>
  </si>
  <si>
    <t xml:space="preserve">Date
(JJ/MM/AAAA)</t>
  </si>
  <si>
    <t xml:space="preserve">Type de tâche BI
(liste déroulante)</t>
  </si>
  <si>
    <t xml:space="preserve">Niveau de
complexité</t>
  </si>
  <si>
    <t xml:space="preserve">Type de
livrable</t>
  </si>
  <si>
    <t xml:space="preserve">Copilot
utilisé ?
(0=Non / 1=Oui)</t>
  </si>
  <si>
    <t xml:space="preserve">Temps de
réalisation
(minutes)</t>
  </si>
  <si>
    <t xml:space="preserve">Nb
itérations</t>
  </si>
  <si>
    <t xml:space="preserve">Score
Pertinence
(/5)</t>
  </si>
  <si>
    <t xml:space="preserve">Score
Clarté
(/5)</t>
  </si>
  <si>
    <t xml:space="preserve">Score
Exactitude
(/5)</t>
  </si>
  <si>
    <t xml:space="preserve">Score
Exploitabilité
(/5)</t>
  </si>
  <si>
    <t xml:space="preserve">Commentaire
(optionnel)</t>
  </si>
  <si>
    <t xml:space="preserve">03/03/2026</t>
  </si>
  <si>
    <t xml:space="preserve">Rédaction analytique</t>
  </si>
  <si>
    <t xml:space="preserve">Faible</t>
  </si>
  <si>
    <t xml:space="preserve">Management</t>
  </si>
  <si>
    <t xml:space="preserve">Résumé hebdo PR C-POWER semaine 9 — Copilot efficace, ajusté ton direction</t>
  </si>
  <si>
    <t xml:space="preserve">Modélisation/DAX</t>
  </si>
  <si>
    <t xml:space="preserve">Élevé</t>
  </si>
  <si>
    <t xml:space="preserve">Opérationnel</t>
  </si>
  <si>
    <t xml:space="preserve">Mesure YTD montant PR par BG — Copilot a proposé une base DAX, 4 corrections nécessaires</t>
  </si>
  <si>
    <t xml:space="preserve">04/03/2026</t>
  </si>
  <si>
    <t xml:space="preserve">Documentation</t>
  </si>
  <si>
    <t xml:space="preserve">Documentation page PR Analysis — descriptions visuels OK, 3 retouches labels</t>
  </si>
  <si>
    <t xml:space="preserve">Analyse exploratoire</t>
  </si>
  <si>
    <t xml:space="preserve">Moyen</t>
  </si>
  <si>
    <t xml:space="preserve">Exploratoire</t>
  </si>
  <si>
    <t xml:space="preserve">Exploration anomalies PR plant RAY — analyse manuelle approfondie</t>
  </si>
  <si>
    <t xml:space="preserve">05/03/2026</t>
  </si>
  <si>
    <t xml:space="preserve">Structuration rapport</t>
  </si>
  <si>
    <t xml:space="preserve">Page PR par acheteur et Doc_Type_Desc — Copilot bien placé visuels, couleurs à revoir</t>
  </si>
  <si>
    <t xml:space="preserve">Analyse dépenses MRO mars — rédigé manuellement pour présentation comité</t>
  </si>
  <si>
    <t xml:space="preserve">06/03/2026</t>
  </si>
  <si>
    <t xml:space="preserve">Mesure ratio PO/PR par plant — Copilot a suggéré DIVIDE, relation many-to-many mal gérée, 3 corrections</t>
  </si>
  <si>
    <t xml:space="preserve">Documentation modèle sémantique POR — technique et précis, manuel</t>
  </si>
  <si>
    <t xml:space="preserve">10/03/2026</t>
  </si>
  <si>
    <t xml:space="preserve">Page Open Orders par acheteur — Create new report page, résultat correct</t>
  </si>
  <si>
    <t xml:space="preserve">Note flash PR semaine 10 — Copilot très efficace sur résumés courts</t>
  </si>
  <si>
    <t xml:space="preserve">11/03/2026</t>
  </si>
  <si>
    <t xml:space="preserve">Mesure time intelligence glissement 12 mois — Copilot a généré DATESINPERIOD incorrect, 5 corrections avant résultat fiable</t>
  </si>
  <si>
    <t xml:space="preserve">Exploration PR CAPEX plant ADR — Copilot a bien identifié tendances</t>
  </si>
  <si>
    <t xml:space="preserve">12/03/2026</t>
  </si>
  <si>
    <t xml:space="preserve">Fiche synthèse indicateurs clés POR — Copilot rapide sur ce type</t>
  </si>
  <si>
    <t xml:space="preserve">Analyse répartition Doc_Type_Desc BU C-POWER 2025 — exploration manuelle</t>
  </si>
  <si>
    <t xml:space="preserve">13/03/2026</t>
  </si>
  <si>
    <t xml:space="preserve">Dashboard performance acheteurs multi-pages — structure complexe, manuel</t>
  </si>
  <si>
    <t xml:space="preserve">Synthèse mensuelle PR pour comité — 3 itérations pour ajuster chiffres</t>
  </si>
  <si>
    <t xml:space="preserve">17/03/2026</t>
  </si>
  <si>
    <t xml:space="preserve">Mesure écart PR vs budget — Copilot a tenté CALCULATE avec 3 tables, logique incorrecte, 4 corrections</t>
  </si>
  <si>
    <t xml:space="preserve">Guide utilisateur filtre Business_Group — Copilot a bien décrit slicers</t>
  </si>
  <si>
    <t xml:space="preserve">18/03/2026</t>
  </si>
  <si>
    <t xml:space="preserve">Exploration PR plant CUR anomalies — analyse détaillée manuelle</t>
  </si>
  <si>
    <t xml:space="preserve">Page analyse ZPOD par acheteur — Copilot visuels OK, ajustements mineurs</t>
  </si>
  <si>
    <t xml:space="preserve">19/03/2026</t>
  </si>
  <si>
    <t xml:space="preserve">Rapport mensuel achats indirects DG — haute qualité requise, manuel</t>
  </si>
  <si>
    <t xml:space="preserve">Top 10 acheteurs montant YTD — Copilot a proposé TOPN, relation manquante corrigée manuellement</t>
  </si>
  <si>
    <t xml:space="preserve">20/03/2026</t>
  </si>
  <si>
    <t xml:space="preserve">Analyse cross-BU CAPEX vs MRO 2025 — exploration complexe, manuel</t>
  </si>
  <si>
    <t xml:space="preserve">Documentation mesures DAX du modèle POR — technique précis, manuel</t>
  </si>
  <si>
    <t xml:space="preserve">24/03/2026</t>
  </si>
  <si>
    <t xml:space="preserve">Note flash PR semaine 12 — Copilot très rapide sur résumés courts</t>
  </si>
  <si>
    <t xml:space="preserve">Page PR par Material_type 2025 — Create new page, labels ajustés</t>
  </si>
  <si>
    <t xml:space="preserve">25/03/2026</t>
  </si>
  <si>
    <t xml:space="preserve">Mesure ratio conversion PR en PO — Copilot a ignoré règle métier OPmobility, 5 corrections</t>
  </si>
  <si>
    <t xml:space="preserve">Exploration PR List_PB croisée plant — Copilot a eu du mal avec la relation</t>
  </si>
  <si>
    <t xml:space="preserve">26/03/2026</t>
  </si>
  <si>
    <t xml:space="preserve">Procédure mise à jour rapport POR — documentation technique précise</t>
  </si>
  <si>
    <t xml:space="preserve">Analyse tendances PR BOM Components T1 2026 — rédigé manuellement</t>
  </si>
  <si>
    <t xml:space="preserve">27/03/2026</t>
  </si>
  <si>
    <t xml:space="preserve">Dashboard hebdo acheteurs réunion jeudi — structure soignée, manuel</t>
  </si>
  <si>
    <t xml:space="preserve">01/04/2026</t>
  </si>
  <si>
    <t xml:space="preserve">Résumé hebdo PR C-POWER début avril — Copilot efficace</t>
  </si>
  <si>
    <t xml:space="preserve">Mesure montant PR par PR_Purchasing_group — Copilot a oublié le filtre BG, 3 corrections</t>
  </si>
  <si>
    <t xml:space="preserve">02/04/2026</t>
  </si>
  <si>
    <t xml:space="preserve">Exploration PR plant ADR mars 2026 — Copilot bien répondu</t>
  </si>
  <si>
    <t xml:space="preserve">Guide filtre PR_plant dans page POR — Copilot rapide et pertinent</t>
  </si>
  <si>
    <t xml:space="preserve">03/04/2026</t>
  </si>
  <si>
    <t xml:space="preserve">Rapport stratégique achats C-POWER Q1 2026 — niveau direction, manuel</t>
  </si>
  <si>
    <t xml:space="preserve">Synthèse bimensuelle achats comité pilotage — niveau comité, manuel</t>
  </si>
  <si>
    <t xml:space="preserve">04/04/2026</t>
  </si>
  <si>
    <t xml:space="preserve">Mesure saisonnalité PR par trimestre — Copilot a proposé DATEADD, contexte filtre incorrect, 4 corrections</t>
  </si>
  <si>
    <t xml:space="preserve">Documentation page Open Orders KPIs — descriptions précises, manuel</t>
  </si>
  <si>
    <t xml:space="preserve">Analyse saisonnalité PR trimestres 2024-2025 — exploration historique</t>
  </si>
  <si>
    <t xml:space="preserve">SYNTHÈSE AUTOMATIQUE — Calculs mis à jour dès que vous remplissez le Journal</t>
  </si>
  <si>
    <t xml:space="preserve">INDICATEUR</t>
  </si>
  <si>
    <t xml:space="preserve">VALEUR</t>
  </si>
  <si>
    <t xml:space="preserve">EXPLICATION</t>
  </si>
  <si>
    <t xml:space="preserve">Nb total d'observations</t>
  </si>
  <si>
    <t xml:space="preserve">Nb tâches AVEC Copilot</t>
  </si>
  <si>
    <t xml:space="preserve">Nb tâches SANS Copilot</t>
  </si>
  <si>
    <t xml:space="preserve">Taux d'adoption Copilot (%)</t>
  </si>
  <si>
    <t xml:space="preserve">Nb avec Copilot / Total</t>
  </si>
  <si>
    <t xml:space="preserve">Temps moyen AVEC Copilot (min)</t>
  </si>
  <si>
    <t xml:space="preserve">Moyenne temps si Copilot=1</t>
  </si>
  <si>
    <t xml:space="preserve">Temps moyen SANS Copilot (min)</t>
  </si>
  <si>
    <t xml:space="preserve">Moyenne temps si Copilot=0</t>
  </si>
  <si>
    <t xml:space="preserve">Gain de temps moyen (%)</t>
  </si>
  <si>
    <t xml:space="preserve">Gain de temps = (Temps sans Copilot - Temps avec) / Temps sans × 100</t>
  </si>
  <si>
    <t xml:space="preserve">Score pertinence moyen AVEC Copilot</t>
  </si>
  <si>
    <t xml:space="preserve">Score pertinence moyen SANS Copilot</t>
  </si>
  <si>
    <t xml:space="preserve">Score exploitabilité AVEC Copilot</t>
  </si>
  <si>
    <t xml:space="preserve">Score exploitabilité SANS Copilot</t>
  </si>
  <si>
    <t xml:space="preserve">GUIDE DE REMPLISSAGE — Critères d'évaluation</t>
  </si>
  <si>
    <t xml:space="preserve">COLONNE</t>
  </si>
  <si>
    <t xml:space="preserve">VALEURS POSSIBLES</t>
  </si>
  <si>
    <t xml:space="preserve">Type de tâche</t>
  </si>
  <si>
    <t xml:space="preserve">Rédiger un résumé ou commentaire analytique sur des données Power BI</t>
  </si>
  <si>
    <t xml:space="preserve">Rédiger la documentation d'un rapport ou d'une page Power BI</t>
  </si>
  <si>
    <t xml:space="preserve">Créer ou modifier des mesures DAX dans le modèle sémantique</t>
  </si>
  <si>
    <t xml:space="preserve">Créer une nouvelle page de rapport, organiser les visuels</t>
  </si>
  <si>
    <t xml:space="preserve">Explorer des données pour répondre à une question métier ponctuelle</t>
  </si>
  <si>
    <t xml:space="preserve">Complexité</t>
  </si>
  <si>
    <t xml:space="preserve">Tâche simple, résultat prévisible, peu de variables impliquées</t>
  </si>
  <si>
    <t xml:space="preserve">Tâche nécessitant plusieurs étapes ou sources de données</t>
  </si>
  <si>
    <t xml:space="preserve">Tâche complexe : many-to-many, time intelligence, règles métier avancées</t>
  </si>
  <si>
    <t xml:space="preserve">Copilot utilisé</t>
  </si>
  <si>
    <t xml:space="preserve">1 = Oui</t>
  </si>
  <si>
    <t xml:space="preserve">Vous avez utilisé le bouton Copilot dans Power BI pour réaliser la tâche</t>
  </si>
  <si>
    <t xml:space="preserve">0 = Non</t>
  </si>
  <si>
    <t xml:space="preserve">Vous avez réalisé la tâche entièrement de façon manuelle</t>
  </si>
  <si>
    <t xml:space="preserve">Temps (min)</t>
  </si>
  <si>
    <t xml:space="preserve">Durée réelle</t>
  </si>
  <si>
    <t xml:space="preserve">Temps du début à la production du livrable final (chronomètre recommandé)</t>
  </si>
  <si>
    <t xml:space="preserve">Nb itérations</t>
  </si>
  <si>
    <t xml:space="preserve">1 à 5</t>
  </si>
  <si>
    <t xml:space="preserve">Nombre de fois où vous avez dû corriger/reformuler avant d'obtenir un résultat satisfaisant</t>
  </si>
  <si>
    <t xml:space="preserve">Score Pertinence</t>
  </si>
  <si>
    <t xml:space="preserve">Le résultat répond-il exactement au besoin exprimé ? (5 = parfaitement adapté)</t>
  </si>
  <si>
    <t xml:space="preserve">Score Clarté</t>
  </si>
  <si>
    <t xml:space="preserve">Le livrable est-il clair et lisible pour l'utilisateur final ? (5 = très clair)</t>
  </si>
  <si>
    <t xml:space="preserve">Score Exactitude</t>
  </si>
  <si>
    <t xml:space="preserve">Les chiffres et analyses sont-ils exacts ? (5 = aucune erreur)</t>
  </si>
  <si>
    <t xml:space="preserve">Score Exploitabilité</t>
  </si>
  <si>
    <t xml:space="preserve">Pouvez-vous utiliser le livrable directement sans retouche ? (5 = utilisable tel quel)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</si>
</sst>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\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A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5C3D8F"/>
        <bgColor rgb="FF555555"/>
      </patternFill>
    </fill>
    <fill>
      <patternFill patternType="solid">
        <fgColor rgb="FFEDE7F6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AA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DE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5C3D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4" min="3" style="1" width="14"/>
    <col collapsed="false" customWidth="true" hidden="false" outlineLevel="0" max="6" min="5" style="1" width="12"/>
    <col collapsed="false" customWidth="true" hidden="false" outlineLevel="0" max="11" min="7" style="1" width="10"/>
    <col collapsed="false" customWidth="true" hidden="false" outlineLevel="0" max="12" min="12" style="1" width="2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0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4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21.75" hidden="false" customHeight="true" outlineLevel="0" collapsed="false">
      <c r="A4" s="5" t="s">
        <v>14</v>
      </c>
      <c r="B4" s="6" t="s">
        <v>15</v>
      </c>
      <c r="C4" s="6" t="s">
        <v>16</v>
      </c>
      <c r="D4" s="6" t="s">
        <v>17</v>
      </c>
      <c r="E4" s="6" t="n">
        <v>1</v>
      </c>
      <c r="F4" s="6" t="n">
        <v>32</v>
      </c>
      <c r="G4" s="6" t="n">
        <v>2</v>
      </c>
      <c r="H4" s="6" t="n">
        <v>4.5</v>
      </c>
      <c r="I4" s="6" t="n">
        <v>4.3</v>
      </c>
      <c r="J4" s="6" t="n">
        <v>4.4</v>
      </c>
      <c r="K4" s="6" t="n">
        <v>4</v>
      </c>
      <c r="L4" s="7" t="s">
        <v>18</v>
      </c>
    </row>
    <row r="5" customFormat="false" ht="21.75" hidden="false" customHeight="true" outlineLevel="0" collapsed="false">
      <c r="A5" s="8" t="s">
        <v>14</v>
      </c>
      <c r="B5" s="9" t="s">
        <v>19</v>
      </c>
      <c r="C5" s="9" t="s">
        <v>20</v>
      </c>
      <c r="D5" s="9" t="s">
        <v>21</v>
      </c>
      <c r="E5" s="9" t="n">
        <v>1</v>
      </c>
      <c r="F5" s="9" t="n">
        <v>74</v>
      </c>
      <c r="G5" s="9" t="n">
        <v>4</v>
      </c>
      <c r="H5" s="9" t="n">
        <v>3.8</v>
      </c>
      <c r="I5" s="9" t="n">
        <v>3.6</v>
      </c>
      <c r="J5" s="9" t="n">
        <v>3.5</v>
      </c>
      <c r="K5" s="9" t="n">
        <v>3.2</v>
      </c>
      <c r="L5" s="10" t="s">
        <v>22</v>
      </c>
    </row>
    <row r="6" customFormat="false" ht="21.75" hidden="false" customHeight="true" outlineLevel="0" collapsed="false">
      <c r="A6" s="5" t="s">
        <v>23</v>
      </c>
      <c r="B6" s="6" t="s">
        <v>24</v>
      </c>
      <c r="C6" s="6" t="s">
        <v>16</v>
      </c>
      <c r="D6" s="6" t="s">
        <v>21</v>
      </c>
      <c r="E6" s="6" t="n">
        <v>1</v>
      </c>
      <c r="F6" s="6" t="n">
        <v>27</v>
      </c>
      <c r="G6" s="6" t="n">
        <v>3</v>
      </c>
      <c r="H6" s="6" t="n">
        <v>4.1</v>
      </c>
      <c r="I6" s="6" t="n">
        <v>4.2</v>
      </c>
      <c r="J6" s="6" t="n">
        <v>4</v>
      </c>
      <c r="K6" s="6" t="n">
        <v>3.7</v>
      </c>
      <c r="L6" s="7" t="s">
        <v>25</v>
      </c>
    </row>
    <row r="7" customFormat="false" ht="21.75" hidden="false" customHeight="true" outlineLevel="0" collapsed="false">
      <c r="A7" s="8" t="s">
        <v>23</v>
      </c>
      <c r="B7" s="9" t="s">
        <v>26</v>
      </c>
      <c r="C7" s="9" t="s">
        <v>27</v>
      </c>
      <c r="D7" s="9" t="s">
        <v>28</v>
      </c>
      <c r="E7" s="9" t="n">
        <v>0</v>
      </c>
      <c r="F7" s="9" t="n">
        <v>62</v>
      </c>
      <c r="G7" s="9" t="n">
        <v>1</v>
      </c>
      <c r="H7" s="9" t="n">
        <v>4.7</v>
      </c>
      <c r="I7" s="9" t="n">
        <v>4.6</v>
      </c>
      <c r="J7" s="9" t="n">
        <v>4.8</v>
      </c>
      <c r="K7" s="9" t="n">
        <v>4.7</v>
      </c>
      <c r="L7" s="10" t="s">
        <v>29</v>
      </c>
    </row>
    <row r="8" customFormat="false" ht="21.75" hidden="false" customHeight="true" outlineLevel="0" collapsed="false">
      <c r="A8" s="5" t="s">
        <v>30</v>
      </c>
      <c r="B8" s="6" t="s">
        <v>31</v>
      </c>
      <c r="C8" s="6" t="s">
        <v>27</v>
      </c>
      <c r="D8" s="6" t="s">
        <v>17</v>
      </c>
      <c r="E8" s="6" t="n">
        <v>1</v>
      </c>
      <c r="F8" s="6" t="n">
        <v>43</v>
      </c>
      <c r="G8" s="6" t="n">
        <v>2</v>
      </c>
      <c r="H8" s="6" t="n">
        <v>4</v>
      </c>
      <c r="I8" s="6" t="n">
        <v>4.1</v>
      </c>
      <c r="J8" s="6" t="n">
        <v>4.2</v>
      </c>
      <c r="K8" s="6" t="n">
        <v>3.9</v>
      </c>
      <c r="L8" s="7" t="s">
        <v>32</v>
      </c>
    </row>
    <row r="9" customFormat="false" ht="21.75" hidden="false" customHeight="true" outlineLevel="0" collapsed="false">
      <c r="A9" s="8" t="s">
        <v>30</v>
      </c>
      <c r="B9" s="9" t="s">
        <v>15</v>
      </c>
      <c r="C9" s="9" t="s">
        <v>27</v>
      </c>
      <c r="D9" s="9" t="s">
        <v>17</v>
      </c>
      <c r="E9" s="9" t="n">
        <v>0</v>
      </c>
      <c r="F9" s="9" t="n">
        <v>58</v>
      </c>
      <c r="G9" s="9" t="n">
        <v>1</v>
      </c>
      <c r="H9" s="9" t="n">
        <v>4.6</v>
      </c>
      <c r="I9" s="9" t="n">
        <v>4.7</v>
      </c>
      <c r="J9" s="9" t="n">
        <v>4.6</v>
      </c>
      <c r="K9" s="9" t="n">
        <v>4.8</v>
      </c>
      <c r="L9" s="10" t="s">
        <v>33</v>
      </c>
    </row>
    <row r="10" customFormat="false" ht="21.75" hidden="false" customHeight="true" outlineLevel="0" collapsed="false">
      <c r="A10" s="5" t="s">
        <v>34</v>
      </c>
      <c r="B10" s="6" t="s">
        <v>19</v>
      </c>
      <c r="C10" s="6" t="s">
        <v>27</v>
      </c>
      <c r="D10" s="6" t="s">
        <v>21</v>
      </c>
      <c r="E10" s="6" t="n">
        <v>1</v>
      </c>
      <c r="F10" s="6" t="n">
        <v>60</v>
      </c>
      <c r="G10" s="6" t="n">
        <v>3</v>
      </c>
      <c r="H10" s="6" t="n">
        <v>3.9</v>
      </c>
      <c r="I10" s="6" t="n">
        <v>3.7</v>
      </c>
      <c r="J10" s="6" t="n">
        <v>3.8</v>
      </c>
      <c r="K10" s="6" t="n">
        <v>3.5</v>
      </c>
      <c r="L10" s="7" t="s">
        <v>35</v>
      </c>
    </row>
    <row r="11" customFormat="false" ht="21.75" hidden="false" customHeight="true" outlineLevel="0" collapsed="false">
      <c r="A11" s="8" t="s">
        <v>34</v>
      </c>
      <c r="B11" s="9" t="s">
        <v>24</v>
      </c>
      <c r="C11" s="9" t="s">
        <v>27</v>
      </c>
      <c r="D11" s="9" t="s">
        <v>21</v>
      </c>
      <c r="E11" s="9" t="n">
        <v>0</v>
      </c>
      <c r="F11" s="9" t="n">
        <v>52</v>
      </c>
      <c r="G11" s="9" t="n">
        <v>1</v>
      </c>
      <c r="H11" s="9" t="n">
        <v>4.8</v>
      </c>
      <c r="I11" s="9" t="n">
        <v>4.7</v>
      </c>
      <c r="J11" s="9" t="n">
        <v>4.8</v>
      </c>
      <c r="K11" s="9" t="n">
        <v>4.9</v>
      </c>
      <c r="L11" s="10" t="s">
        <v>36</v>
      </c>
    </row>
    <row r="12" customFormat="false" ht="21.75" hidden="false" customHeight="true" outlineLevel="0" collapsed="false">
      <c r="A12" s="5" t="s">
        <v>37</v>
      </c>
      <c r="B12" s="6" t="s">
        <v>31</v>
      </c>
      <c r="C12" s="6" t="s">
        <v>16</v>
      </c>
      <c r="D12" s="6" t="s">
        <v>21</v>
      </c>
      <c r="E12" s="6" t="n">
        <v>1</v>
      </c>
      <c r="F12" s="6" t="n">
        <v>36</v>
      </c>
      <c r="G12" s="6" t="n">
        <v>2</v>
      </c>
      <c r="H12" s="6" t="n">
        <v>4.2</v>
      </c>
      <c r="I12" s="6" t="n">
        <v>4.3</v>
      </c>
      <c r="J12" s="6" t="n">
        <v>4.1</v>
      </c>
      <c r="K12" s="6" t="n">
        <v>4</v>
      </c>
      <c r="L12" s="7" t="s">
        <v>38</v>
      </c>
    </row>
    <row r="13" customFormat="false" ht="21.75" hidden="false" customHeight="true" outlineLevel="0" collapsed="false">
      <c r="A13" s="8" t="s">
        <v>37</v>
      </c>
      <c r="B13" s="9" t="s">
        <v>15</v>
      </c>
      <c r="C13" s="9" t="s">
        <v>16</v>
      </c>
      <c r="D13" s="9" t="s">
        <v>17</v>
      </c>
      <c r="E13" s="9" t="n">
        <v>1</v>
      </c>
      <c r="F13" s="9" t="n">
        <v>27</v>
      </c>
      <c r="G13" s="9" t="n">
        <v>2</v>
      </c>
      <c r="H13" s="9" t="n">
        <v>4.6</v>
      </c>
      <c r="I13" s="9" t="n">
        <v>4.4</v>
      </c>
      <c r="J13" s="9" t="n">
        <v>4.5</v>
      </c>
      <c r="K13" s="9" t="n">
        <v>4.1</v>
      </c>
      <c r="L13" s="10" t="s">
        <v>39</v>
      </c>
    </row>
    <row r="14" customFormat="false" ht="21.75" hidden="false" customHeight="true" outlineLevel="0" collapsed="false">
      <c r="A14" s="5" t="s">
        <v>40</v>
      </c>
      <c r="B14" s="6" t="s">
        <v>19</v>
      </c>
      <c r="C14" s="6" t="s">
        <v>20</v>
      </c>
      <c r="D14" s="6" t="s">
        <v>21</v>
      </c>
      <c r="E14" s="6" t="n">
        <v>1</v>
      </c>
      <c r="F14" s="6" t="n">
        <v>80</v>
      </c>
      <c r="G14" s="6" t="n">
        <v>5</v>
      </c>
      <c r="H14" s="6" t="n">
        <v>3.5</v>
      </c>
      <c r="I14" s="6" t="n">
        <v>3.4</v>
      </c>
      <c r="J14" s="6" t="n">
        <v>3.3</v>
      </c>
      <c r="K14" s="6" t="n">
        <v>3</v>
      </c>
      <c r="L14" s="7" t="s">
        <v>41</v>
      </c>
    </row>
    <row r="15" customFormat="false" ht="21.75" hidden="false" customHeight="true" outlineLevel="0" collapsed="false">
      <c r="A15" s="8" t="s">
        <v>40</v>
      </c>
      <c r="B15" s="9" t="s">
        <v>26</v>
      </c>
      <c r="C15" s="9" t="s">
        <v>16</v>
      </c>
      <c r="D15" s="9" t="s">
        <v>28</v>
      </c>
      <c r="E15" s="9" t="n">
        <v>1</v>
      </c>
      <c r="F15" s="9" t="n">
        <v>33</v>
      </c>
      <c r="G15" s="9" t="n">
        <v>2</v>
      </c>
      <c r="H15" s="9" t="n">
        <v>4.3</v>
      </c>
      <c r="I15" s="9" t="n">
        <v>4.4</v>
      </c>
      <c r="J15" s="9" t="n">
        <v>4.2</v>
      </c>
      <c r="K15" s="9" t="n">
        <v>4</v>
      </c>
      <c r="L15" s="10" t="s">
        <v>42</v>
      </c>
    </row>
    <row r="16" customFormat="false" ht="21.75" hidden="false" customHeight="true" outlineLevel="0" collapsed="false">
      <c r="A16" s="5" t="s">
        <v>43</v>
      </c>
      <c r="B16" s="6" t="s">
        <v>24</v>
      </c>
      <c r="C16" s="6" t="s">
        <v>16</v>
      </c>
      <c r="D16" s="6" t="s">
        <v>17</v>
      </c>
      <c r="E16" s="6" t="n">
        <v>1</v>
      </c>
      <c r="F16" s="6" t="n">
        <v>26</v>
      </c>
      <c r="G16" s="6" t="n">
        <v>2</v>
      </c>
      <c r="H16" s="6" t="n">
        <v>4.4</v>
      </c>
      <c r="I16" s="6" t="n">
        <v>4.5</v>
      </c>
      <c r="J16" s="6" t="n">
        <v>4.3</v>
      </c>
      <c r="K16" s="6" t="n">
        <v>4.1</v>
      </c>
      <c r="L16" s="7" t="s">
        <v>44</v>
      </c>
    </row>
    <row r="17" customFormat="false" ht="21.75" hidden="false" customHeight="true" outlineLevel="0" collapsed="false">
      <c r="A17" s="8" t="s">
        <v>43</v>
      </c>
      <c r="B17" s="9" t="s">
        <v>26</v>
      </c>
      <c r="C17" s="9" t="s">
        <v>27</v>
      </c>
      <c r="D17" s="9" t="s">
        <v>28</v>
      </c>
      <c r="E17" s="9" t="n">
        <v>0</v>
      </c>
      <c r="F17" s="9" t="n">
        <v>57</v>
      </c>
      <c r="G17" s="9" t="n">
        <v>1</v>
      </c>
      <c r="H17" s="9" t="n">
        <v>4.7</v>
      </c>
      <c r="I17" s="9" t="n">
        <v>4.6</v>
      </c>
      <c r="J17" s="9" t="n">
        <v>4.7</v>
      </c>
      <c r="K17" s="9" t="n">
        <v>4.8</v>
      </c>
      <c r="L17" s="10" t="s">
        <v>45</v>
      </c>
    </row>
    <row r="18" customFormat="false" ht="21.75" hidden="false" customHeight="true" outlineLevel="0" collapsed="false">
      <c r="A18" s="5" t="s">
        <v>46</v>
      </c>
      <c r="B18" s="6" t="s">
        <v>31</v>
      </c>
      <c r="C18" s="6" t="s">
        <v>20</v>
      </c>
      <c r="D18" s="6" t="s">
        <v>17</v>
      </c>
      <c r="E18" s="6" t="n">
        <v>0</v>
      </c>
      <c r="F18" s="6" t="n">
        <v>82</v>
      </c>
      <c r="G18" s="6" t="n">
        <v>1</v>
      </c>
      <c r="H18" s="6" t="n">
        <v>4.8</v>
      </c>
      <c r="I18" s="6" t="n">
        <v>4.7</v>
      </c>
      <c r="J18" s="6" t="n">
        <v>4.9</v>
      </c>
      <c r="K18" s="6" t="n">
        <v>4.8</v>
      </c>
      <c r="L18" s="7" t="s">
        <v>47</v>
      </c>
    </row>
    <row r="19" customFormat="false" ht="21.75" hidden="false" customHeight="true" outlineLevel="0" collapsed="false">
      <c r="A19" s="8" t="s">
        <v>46</v>
      </c>
      <c r="B19" s="9" t="s">
        <v>15</v>
      </c>
      <c r="C19" s="9" t="s">
        <v>27</v>
      </c>
      <c r="D19" s="9" t="s">
        <v>17</v>
      </c>
      <c r="E19" s="9" t="n">
        <v>1</v>
      </c>
      <c r="F19" s="9" t="n">
        <v>38</v>
      </c>
      <c r="G19" s="9" t="n">
        <v>3</v>
      </c>
      <c r="H19" s="9" t="n">
        <v>4.2</v>
      </c>
      <c r="I19" s="9" t="n">
        <v>4</v>
      </c>
      <c r="J19" s="9" t="n">
        <v>4.1</v>
      </c>
      <c r="K19" s="9" t="n">
        <v>3.8</v>
      </c>
      <c r="L19" s="10" t="s">
        <v>48</v>
      </c>
    </row>
    <row r="20" customFormat="false" ht="21.75" hidden="false" customHeight="true" outlineLevel="0" collapsed="false">
      <c r="A20" s="5" t="s">
        <v>49</v>
      </c>
      <c r="B20" s="6" t="s">
        <v>19</v>
      </c>
      <c r="C20" s="6" t="s">
        <v>20</v>
      </c>
      <c r="D20" s="6" t="s">
        <v>21</v>
      </c>
      <c r="E20" s="6" t="n">
        <v>1</v>
      </c>
      <c r="F20" s="6" t="n">
        <v>78</v>
      </c>
      <c r="G20" s="6" t="n">
        <v>4</v>
      </c>
      <c r="H20" s="6" t="n">
        <v>3.7</v>
      </c>
      <c r="I20" s="6" t="n">
        <v>3.5</v>
      </c>
      <c r="J20" s="6" t="n">
        <v>3.6</v>
      </c>
      <c r="K20" s="6" t="n">
        <v>3.3</v>
      </c>
      <c r="L20" s="7" t="s">
        <v>50</v>
      </c>
    </row>
    <row r="21" customFormat="false" ht="21.75" hidden="false" customHeight="true" outlineLevel="0" collapsed="false">
      <c r="A21" s="8" t="s">
        <v>49</v>
      </c>
      <c r="B21" s="9" t="s">
        <v>24</v>
      </c>
      <c r="C21" s="9" t="s">
        <v>16</v>
      </c>
      <c r="D21" s="9" t="s">
        <v>21</v>
      </c>
      <c r="E21" s="9" t="n">
        <v>1</v>
      </c>
      <c r="F21" s="9" t="n">
        <v>29</v>
      </c>
      <c r="G21" s="9" t="n">
        <v>2</v>
      </c>
      <c r="H21" s="9" t="n">
        <v>4.3</v>
      </c>
      <c r="I21" s="9" t="n">
        <v>4.4</v>
      </c>
      <c r="J21" s="9" t="n">
        <v>4.2</v>
      </c>
      <c r="K21" s="9" t="n">
        <v>4</v>
      </c>
      <c r="L21" s="10" t="s">
        <v>51</v>
      </c>
    </row>
    <row r="22" customFormat="false" ht="21.75" hidden="false" customHeight="true" outlineLevel="0" collapsed="false">
      <c r="A22" s="5" t="s">
        <v>52</v>
      </c>
      <c r="B22" s="6" t="s">
        <v>26</v>
      </c>
      <c r="C22" s="6" t="s">
        <v>16</v>
      </c>
      <c r="D22" s="6" t="s">
        <v>28</v>
      </c>
      <c r="E22" s="6" t="n">
        <v>0</v>
      </c>
      <c r="F22" s="6" t="n">
        <v>50</v>
      </c>
      <c r="G22" s="6" t="n">
        <v>1</v>
      </c>
      <c r="H22" s="6" t="n">
        <v>4.6</v>
      </c>
      <c r="I22" s="6" t="n">
        <v>4.5</v>
      </c>
      <c r="J22" s="6" t="n">
        <v>4.7</v>
      </c>
      <c r="K22" s="6" t="n">
        <v>4.6</v>
      </c>
      <c r="L22" s="7" t="s">
        <v>53</v>
      </c>
    </row>
    <row r="23" customFormat="false" ht="21.75" hidden="false" customHeight="true" outlineLevel="0" collapsed="false">
      <c r="A23" s="8" t="s">
        <v>52</v>
      </c>
      <c r="B23" s="9" t="s">
        <v>31</v>
      </c>
      <c r="C23" s="9" t="s">
        <v>27</v>
      </c>
      <c r="D23" s="9" t="s">
        <v>21</v>
      </c>
      <c r="E23" s="9" t="n">
        <v>1</v>
      </c>
      <c r="F23" s="9" t="n">
        <v>45</v>
      </c>
      <c r="G23" s="9" t="n">
        <v>2</v>
      </c>
      <c r="H23" s="9" t="n">
        <v>4.1</v>
      </c>
      <c r="I23" s="9" t="n">
        <v>4.2</v>
      </c>
      <c r="J23" s="9" t="n">
        <v>4</v>
      </c>
      <c r="K23" s="9" t="n">
        <v>3.9</v>
      </c>
      <c r="L23" s="10" t="s">
        <v>54</v>
      </c>
    </row>
    <row r="24" customFormat="false" ht="21.75" hidden="false" customHeight="true" outlineLevel="0" collapsed="false">
      <c r="A24" s="5" t="s">
        <v>55</v>
      </c>
      <c r="B24" s="6" t="s">
        <v>15</v>
      </c>
      <c r="C24" s="6" t="s">
        <v>20</v>
      </c>
      <c r="D24" s="6" t="s">
        <v>17</v>
      </c>
      <c r="E24" s="6" t="n">
        <v>0</v>
      </c>
      <c r="F24" s="6" t="n">
        <v>67</v>
      </c>
      <c r="G24" s="6" t="n">
        <v>1</v>
      </c>
      <c r="H24" s="6" t="n">
        <v>4.8</v>
      </c>
      <c r="I24" s="6" t="n">
        <v>4.9</v>
      </c>
      <c r="J24" s="6" t="n">
        <v>4.8</v>
      </c>
      <c r="K24" s="6" t="n">
        <v>4.9</v>
      </c>
      <c r="L24" s="7" t="s">
        <v>56</v>
      </c>
    </row>
    <row r="25" customFormat="false" ht="21.75" hidden="false" customHeight="true" outlineLevel="0" collapsed="false">
      <c r="A25" s="8" t="s">
        <v>55</v>
      </c>
      <c r="B25" s="9" t="s">
        <v>19</v>
      </c>
      <c r="C25" s="9" t="s">
        <v>27</v>
      </c>
      <c r="D25" s="9" t="s">
        <v>21</v>
      </c>
      <c r="E25" s="9" t="n">
        <v>1</v>
      </c>
      <c r="F25" s="9" t="n">
        <v>62</v>
      </c>
      <c r="G25" s="9" t="n">
        <v>3</v>
      </c>
      <c r="H25" s="9" t="n">
        <v>3.9</v>
      </c>
      <c r="I25" s="9" t="n">
        <v>3.8</v>
      </c>
      <c r="J25" s="9" t="n">
        <v>3.7</v>
      </c>
      <c r="K25" s="9" t="n">
        <v>3.4</v>
      </c>
      <c r="L25" s="10" t="s">
        <v>57</v>
      </c>
    </row>
    <row r="26" customFormat="false" ht="21.75" hidden="false" customHeight="true" outlineLevel="0" collapsed="false">
      <c r="A26" s="5" t="s">
        <v>58</v>
      </c>
      <c r="B26" s="6" t="s">
        <v>26</v>
      </c>
      <c r="C26" s="6" t="s">
        <v>20</v>
      </c>
      <c r="D26" s="6" t="s">
        <v>28</v>
      </c>
      <c r="E26" s="6" t="n">
        <v>0</v>
      </c>
      <c r="F26" s="6" t="n">
        <v>72</v>
      </c>
      <c r="G26" s="6" t="n">
        <v>1</v>
      </c>
      <c r="H26" s="6" t="n">
        <v>4.8</v>
      </c>
      <c r="I26" s="6" t="n">
        <v>4.7</v>
      </c>
      <c r="J26" s="6" t="n">
        <v>4.8</v>
      </c>
      <c r="K26" s="6" t="n">
        <v>4.9</v>
      </c>
      <c r="L26" s="7" t="s">
        <v>59</v>
      </c>
    </row>
    <row r="27" customFormat="false" ht="21.75" hidden="false" customHeight="true" outlineLevel="0" collapsed="false">
      <c r="A27" s="8" t="s">
        <v>58</v>
      </c>
      <c r="B27" s="9" t="s">
        <v>24</v>
      </c>
      <c r="C27" s="9" t="s">
        <v>27</v>
      </c>
      <c r="D27" s="9" t="s">
        <v>21</v>
      </c>
      <c r="E27" s="9" t="n">
        <v>0</v>
      </c>
      <c r="F27" s="9" t="n">
        <v>49</v>
      </c>
      <c r="G27" s="9" t="n">
        <v>1</v>
      </c>
      <c r="H27" s="9" t="n">
        <v>4.7</v>
      </c>
      <c r="I27" s="9" t="n">
        <v>4.6</v>
      </c>
      <c r="J27" s="9" t="n">
        <v>4.8</v>
      </c>
      <c r="K27" s="9" t="n">
        <v>4.7</v>
      </c>
      <c r="L27" s="10" t="s">
        <v>60</v>
      </c>
    </row>
    <row r="28" customFormat="false" ht="21.75" hidden="false" customHeight="true" outlineLevel="0" collapsed="false">
      <c r="A28" s="5" t="s">
        <v>61</v>
      </c>
      <c r="B28" s="6" t="s">
        <v>15</v>
      </c>
      <c r="C28" s="6" t="s">
        <v>16</v>
      </c>
      <c r="D28" s="6" t="s">
        <v>17</v>
      </c>
      <c r="E28" s="6" t="n">
        <v>1</v>
      </c>
      <c r="F28" s="6" t="n">
        <v>25</v>
      </c>
      <c r="G28" s="6" t="n">
        <v>2</v>
      </c>
      <c r="H28" s="6" t="n">
        <v>4.5</v>
      </c>
      <c r="I28" s="6" t="n">
        <v>4.3</v>
      </c>
      <c r="J28" s="6" t="n">
        <v>4.4</v>
      </c>
      <c r="K28" s="6" t="n">
        <v>4.1</v>
      </c>
      <c r="L28" s="7" t="s">
        <v>62</v>
      </c>
    </row>
    <row r="29" customFormat="false" ht="21.75" hidden="false" customHeight="true" outlineLevel="0" collapsed="false">
      <c r="A29" s="8" t="s">
        <v>61</v>
      </c>
      <c r="B29" s="9" t="s">
        <v>31</v>
      </c>
      <c r="C29" s="9" t="s">
        <v>16</v>
      </c>
      <c r="D29" s="9" t="s">
        <v>21</v>
      </c>
      <c r="E29" s="9" t="n">
        <v>1</v>
      </c>
      <c r="F29" s="9" t="n">
        <v>37</v>
      </c>
      <c r="G29" s="9" t="n">
        <v>2</v>
      </c>
      <c r="H29" s="9" t="n">
        <v>4.2</v>
      </c>
      <c r="I29" s="9" t="n">
        <v>4.3</v>
      </c>
      <c r="J29" s="9" t="n">
        <v>4.1</v>
      </c>
      <c r="K29" s="9" t="n">
        <v>4</v>
      </c>
      <c r="L29" s="10" t="s">
        <v>63</v>
      </c>
    </row>
    <row r="30" customFormat="false" ht="21.75" hidden="false" customHeight="true" outlineLevel="0" collapsed="false">
      <c r="A30" s="5" t="s">
        <v>64</v>
      </c>
      <c r="B30" s="6" t="s">
        <v>19</v>
      </c>
      <c r="C30" s="6" t="s">
        <v>20</v>
      </c>
      <c r="D30" s="6" t="s">
        <v>21</v>
      </c>
      <c r="E30" s="6" t="n">
        <v>1</v>
      </c>
      <c r="F30" s="6" t="n">
        <v>76</v>
      </c>
      <c r="G30" s="6" t="n">
        <v>5</v>
      </c>
      <c r="H30" s="6" t="n">
        <v>3.6</v>
      </c>
      <c r="I30" s="6" t="n">
        <v>3.4</v>
      </c>
      <c r="J30" s="6" t="n">
        <v>3.5</v>
      </c>
      <c r="K30" s="6" t="n">
        <v>3.1</v>
      </c>
      <c r="L30" s="7" t="s">
        <v>65</v>
      </c>
    </row>
    <row r="31" customFormat="false" ht="21.75" hidden="false" customHeight="true" outlineLevel="0" collapsed="false">
      <c r="A31" s="8" t="s">
        <v>64</v>
      </c>
      <c r="B31" s="9" t="s">
        <v>26</v>
      </c>
      <c r="C31" s="9" t="s">
        <v>27</v>
      </c>
      <c r="D31" s="9" t="s">
        <v>28</v>
      </c>
      <c r="E31" s="9" t="n">
        <v>1</v>
      </c>
      <c r="F31" s="9" t="n">
        <v>40</v>
      </c>
      <c r="G31" s="9" t="n">
        <v>3</v>
      </c>
      <c r="H31" s="9" t="n">
        <v>4.1</v>
      </c>
      <c r="I31" s="9" t="n">
        <v>4</v>
      </c>
      <c r="J31" s="9" t="n">
        <v>4.2</v>
      </c>
      <c r="K31" s="9" t="n">
        <v>3.8</v>
      </c>
      <c r="L31" s="10" t="s">
        <v>66</v>
      </c>
    </row>
    <row r="32" customFormat="false" ht="21.75" hidden="false" customHeight="true" outlineLevel="0" collapsed="false">
      <c r="A32" s="5" t="s">
        <v>67</v>
      </c>
      <c r="B32" s="6" t="s">
        <v>24</v>
      </c>
      <c r="C32" s="6" t="s">
        <v>27</v>
      </c>
      <c r="D32" s="6" t="s">
        <v>21</v>
      </c>
      <c r="E32" s="6" t="n">
        <v>0</v>
      </c>
      <c r="F32" s="6" t="n">
        <v>51</v>
      </c>
      <c r="G32" s="6" t="n">
        <v>1</v>
      </c>
      <c r="H32" s="6" t="n">
        <v>4.7</v>
      </c>
      <c r="I32" s="6" t="n">
        <v>4.6</v>
      </c>
      <c r="J32" s="6" t="n">
        <v>4.8</v>
      </c>
      <c r="K32" s="6" t="n">
        <v>4.7</v>
      </c>
      <c r="L32" s="7" t="s">
        <v>68</v>
      </c>
    </row>
    <row r="33" customFormat="false" ht="21.75" hidden="false" customHeight="true" outlineLevel="0" collapsed="false">
      <c r="A33" s="8" t="s">
        <v>67</v>
      </c>
      <c r="B33" s="9" t="s">
        <v>15</v>
      </c>
      <c r="C33" s="9" t="s">
        <v>27</v>
      </c>
      <c r="D33" s="9" t="s">
        <v>28</v>
      </c>
      <c r="E33" s="9" t="n">
        <v>0</v>
      </c>
      <c r="F33" s="9" t="n">
        <v>48</v>
      </c>
      <c r="G33" s="9" t="n">
        <v>1</v>
      </c>
      <c r="H33" s="9" t="n">
        <v>4.6</v>
      </c>
      <c r="I33" s="9" t="n">
        <v>4.7</v>
      </c>
      <c r="J33" s="9" t="n">
        <v>4.6</v>
      </c>
      <c r="K33" s="9" t="n">
        <v>4.7</v>
      </c>
      <c r="L33" s="10" t="s">
        <v>69</v>
      </c>
    </row>
    <row r="34" customFormat="false" ht="21.75" hidden="false" customHeight="true" outlineLevel="0" collapsed="false">
      <c r="A34" s="5" t="s">
        <v>70</v>
      </c>
      <c r="B34" s="6" t="s">
        <v>31</v>
      </c>
      <c r="C34" s="6" t="s">
        <v>27</v>
      </c>
      <c r="D34" s="6" t="s">
        <v>17</v>
      </c>
      <c r="E34" s="6" t="n">
        <v>0</v>
      </c>
      <c r="F34" s="6" t="n">
        <v>70</v>
      </c>
      <c r="G34" s="6" t="n">
        <v>1</v>
      </c>
      <c r="H34" s="6" t="n">
        <v>4.8</v>
      </c>
      <c r="I34" s="6" t="n">
        <v>4.7</v>
      </c>
      <c r="J34" s="6" t="n">
        <v>4.8</v>
      </c>
      <c r="K34" s="6" t="n">
        <v>4.8</v>
      </c>
      <c r="L34" s="7" t="s">
        <v>71</v>
      </c>
    </row>
    <row r="35" customFormat="false" ht="21.75" hidden="false" customHeight="true" outlineLevel="0" collapsed="false">
      <c r="A35" s="8" t="s">
        <v>72</v>
      </c>
      <c r="B35" s="9" t="s">
        <v>15</v>
      </c>
      <c r="C35" s="9" t="s">
        <v>16</v>
      </c>
      <c r="D35" s="9" t="s">
        <v>17</v>
      </c>
      <c r="E35" s="9" t="n">
        <v>1</v>
      </c>
      <c r="F35" s="9" t="n">
        <v>28</v>
      </c>
      <c r="G35" s="9" t="n">
        <v>2</v>
      </c>
      <c r="H35" s="9" t="n">
        <v>4.5</v>
      </c>
      <c r="I35" s="9" t="n">
        <v>4.4</v>
      </c>
      <c r="J35" s="9" t="n">
        <v>4.4</v>
      </c>
      <c r="K35" s="9" t="n">
        <v>4</v>
      </c>
      <c r="L35" s="10" t="s">
        <v>73</v>
      </c>
    </row>
    <row r="36" customFormat="false" ht="21.75" hidden="false" customHeight="true" outlineLevel="0" collapsed="false">
      <c r="A36" s="5" t="s">
        <v>72</v>
      </c>
      <c r="B36" s="6" t="s">
        <v>19</v>
      </c>
      <c r="C36" s="6" t="s">
        <v>27</v>
      </c>
      <c r="D36" s="6" t="s">
        <v>21</v>
      </c>
      <c r="E36" s="6" t="n">
        <v>1</v>
      </c>
      <c r="F36" s="6" t="n">
        <v>58</v>
      </c>
      <c r="G36" s="6" t="n">
        <v>3</v>
      </c>
      <c r="H36" s="6" t="n">
        <v>3.8</v>
      </c>
      <c r="I36" s="6" t="n">
        <v>3.7</v>
      </c>
      <c r="J36" s="6" t="n">
        <v>3.6</v>
      </c>
      <c r="K36" s="6" t="n">
        <v>3.3</v>
      </c>
      <c r="L36" s="7" t="s">
        <v>74</v>
      </c>
    </row>
    <row r="37" customFormat="false" ht="21.75" hidden="false" customHeight="true" outlineLevel="0" collapsed="false">
      <c r="A37" s="8" t="s">
        <v>75</v>
      </c>
      <c r="B37" s="9" t="s">
        <v>26</v>
      </c>
      <c r="C37" s="9" t="s">
        <v>16</v>
      </c>
      <c r="D37" s="9" t="s">
        <v>28</v>
      </c>
      <c r="E37" s="9" t="n">
        <v>1</v>
      </c>
      <c r="F37" s="9" t="n">
        <v>31</v>
      </c>
      <c r="G37" s="9" t="n">
        <v>2</v>
      </c>
      <c r="H37" s="9" t="n">
        <v>4.4</v>
      </c>
      <c r="I37" s="9" t="n">
        <v>4.3</v>
      </c>
      <c r="J37" s="9" t="n">
        <v>4.3</v>
      </c>
      <c r="K37" s="9" t="n">
        <v>4.1</v>
      </c>
      <c r="L37" s="10" t="s">
        <v>76</v>
      </c>
    </row>
    <row r="38" customFormat="false" ht="21.75" hidden="false" customHeight="true" outlineLevel="0" collapsed="false">
      <c r="A38" s="5" t="s">
        <v>75</v>
      </c>
      <c r="B38" s="6" t="s">
        <v>24</v>
      </c>
      <c r="C38" s="6" t="s">
        <v>16</v>
      </c>
      <c r="D38" s="6" t="s">
        <v>21</v>
      </c>
      <c r="E38" s="6" t="n">
        <v>1</v>
      </c>
      <c r="F38" s="6" t="n">
        <v>25</v>
      </c>
      <c r="G38" s="6" t="n">
        <v>2</v>
      </c>
      <c r="H38" s="6" t="n">
        <v>4.3</v>
      </c>
      <c r="I38" s="6" t="n">
        <v>4.4</v>
      </c>
      <c r="J38" s="6" t="n">
        <v>4.2</v>
      </c>
      <c r="K38" s="6" t="n">
        <v>3.9</v>
      </c>
      <c r="L38" s="7" t="s">
        <v>77</v>
      </c>
    </row>
    <row r="39" customFormat="false" ht="21.75" hidden="false" customHeight="true" outlineLevel="0" collapsed="false">
      <c r="A39" s="8" t="s">
        <v>78</v>
      </c>
      <c r="B39" s="9" t="s">
        <v>31</v>
      </c>
      <c r="C39" s="9" t="s">
        <v>20</v>
      </c>
      <c r="D39" s="9" t="s">
        <v>17</v>
      </c>
      <c r="E39" s="9" t="n">
        <v>0</v>
      </c>
      <c r="F39" s="9" t="n">
        <v>83</v>
      </c>
      <c r="G39" s="9" t="n">
        <v>1</v>
      </c>
      <c r="H39" s="9" t="n">
        <v>4.9</v>
      </c>
      <c r="I39" s="9" t="n">
        <v>4.8</v>
      </c>
      <c r="J39" s="9" t="n">
        <v>4.9</v>
      </c>
      <c r="K39" s="9" t="n">
        <v>4.9</v>
      </c>
      <c r="L39" s="10" t="s">
        <v>79</v>
      </c>
    </row>
    <row r="40" customFormat="false" ht="21.75" hidden="false" customHeight="true" outlineLevel="0" collapsed="false">
      <c r="A40" s="5" t="s">
        <v>78</v>
      </c>
      <c r="B40" s="6" t="s">
        <v>15</v>
      </c>
      <c r="C40" s="6" t="s">
        <v>27</v>
      </c>
      <c r="D40" s="6" t="s">
        <v>17</v>
      </c>
      <c r="E40" s="6" t="n">
        <v>0</v>
      </c>
      <c r="F40" s="6" t="n">
        <v>52</v>
      </c>
      <c r="G40" s="6" t="n">
        <v>1</v>
      </c>
      <c r="H40" s="6" t="n">
        <v>4.7</v>
      </c>
      <c r="I40" s="6" t="n">
        <v>4.8</v>
      </c>
      <c r="J40" s="6" t="n">
        <v>4.7</v>
      </c>
      <c r="K40" s="6" t="n">
        <v>4.8</v>
      </c>
      <c r="L40" s="7" t="s">
        <v>80</v>
      </c>
    </row>
    <row r="41" customFormat="false" ht="21.75" hidden="false" customHeight="true" outlineLevel="0" collapsed="false">
      <c r="A41" s="8" t="s">
        <v>81</v>
      </c>
      <c r="B41" s="9" t="s">
        <v>19</v>
      </c>
      <c r="C41" s="9" t="s">
        <v>20</v>
      </c>
      <c r="D41" s="9" t="s">
        <v>21</v>
      </c>
      <c r="E41" s="9" t="n">
        <v>1</v>
      </c>
      <c r="F41" s="9" t="n">
        <v>72</v>
      </c>
      <c r="G41" s="9" t="n">
        <v>4</v>
      </c>
      <c r="H41" s="9" t="n">
        <v>3.7</v>
      </c>
      <c r="I41" s="9" t="n">
        <v>3.5</v>
      </c>
      <c r="J41" s="9" t="n">
        <v>3.6</v>
      </c>
      <c r="K41" s="9" t="n">
        <v>3.2</v>
      </c>
      <c r="L41" s="10" t="s">
        <v>82</v>
      </c>
    </row>
    <row r="42" customFormat="false" ht="21.75" hidden="false" customHeight="true" outlineLevel="0" collapsed="false">
      <c r="A42" s="5" t="s">
        <v>81</v>
      </c>
      <c r="B42" s="6" t="s">
        <v>24</v>
      </c>
      <c r="C42" s="6" t="s">
        <v>27</v>
      </c>
      <c r="D42" s="6" t="s">
        <v>17</v>
      </c>
      <c r="E42" s="6" t="n">
        <v>0</v>
      </c>
      <c r="F42" s="6" t="n">
        <v>47</v>
      </c>
      <c r="G42" s="6" t="n">
        <v>1</v>
      </c>
      <c r="H42" s="6" t="n">
        <v>4.8</v>
      </c>
      <c r="I42" s="6" t="n">
        <v>4.7</v>
      </c>
      <c r="J42" s="6" t="n">
        <v>4.8</v>
      </c>
      <c r="K42" s="6" t="n">
        <v>4.8</v>
      </c>
      <c r="L42" s="7" t="s">
        <v>83</v>
      </c>
    </row>
    <row r="43" customFormat="false" ht="21.75" hidden="false" customHeight="true" outlineLevel="0" collapsed="false">
      <c r="A43" s="8" t="s">
        <v>81</v>
      </c>
      <c r="B43" s="9" t="s">
        <v>26</v>
      </c>
      <c r="C43" s="9" t="s">
        <v>27</v>
      </c>
      <c r="D43" s="9" t="s">
        <v>28</v>
      </c>
      <c r="E43" s="9" t="n">
        <v>0</v>
      </c>
      <c r="F43" s="9" t="n">
        <v>54</v>
      </c>
      <c r="G43" s="9" t="n">
        <v>1</v>
      </c>
      <c r="H43" s="9" t="n">
        <v>4.7</v>
      </c>
      <c r="I43" s="9" t="n">
        <v>4.6</v>
      </c>
      <c r="J43" s="9" t="n">
        <v>4.7</v>
      </c>
      <c r="K43" s="9" t="n">
        <v>4.8</v>
      </c>
      <c r="L43" s="10" t="s">
        <v>84</v>
      </c>
    </row>
  </sheetData>
  <mergeCells count="2">
    <mergeCell ref="A1:L1"/>
    <mergeCell ref="A2:L2"/>
  </mergeCells>
  <dataValidations count="5">
    <dataValidation allowBlank="true" error="Choisissez parmi la liste" errorStyle="stop" operator="between" showDropDown="false" showErrorMessage="true" showInputMessage="false" sqref="B4:B38" type="list">
      <formula1>"Rédaction analytique,Documentation,Modélisation/DAX,Structuration rapport,Analyse exploratoire"</formula1>
      <formula2>0</formula2>
    </dataValidation>
    <dataValidation allowBlank="true" errorStyle="stop" operator="between" showDropDown="false" showErrorMessage="false" showInputMessage="false" sqref="C4:C38" type="list">
      <formula1>"Faible,Moyen,Élevé"</formula1>
      <formula2>0</formula2>
    </dataValidation>
    <dataValidation allowBlank="true" errorStyle="stop" operator="between" showDropDown="false" showErrorMessage="false" showInputMessage="false" sqref="D4:D38" type="list">
      <formula1>"Opérationnel,Management,Exploratoire"</formula1>
      <formula2>0</formula2>
    </dataValidation>
    <dataValidation allowBlank="true" errorStyle="stop" operator="between" showDropDown="false" showErrorMessage="false" showInputMessage="false" sqref="E4:E38" type="list">
      <formula1>"0,1"</formula1>
      <formula2>0</formula2>
    </dataValidation>
    <dataValidation allowBlank="true" error="Entrez un score entre 1 et 5" errorStyle="stop" operator="between" showDropDown="false" showErrorMessage="false" showInputMessage="false" sqref="H4:K38" type="decimal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35"/>
  </cols>
  <sheetData>
    <row r="1" customFormat="false" ht="25.5" hidden="false" customHeight="true" outlineLevel="0" collapsed="false">
      <c r="A1" s="11" t="s">
        <v>85</v>
      </c>
      <c r="B1" s="11"/>
      <c r="C1" s="11"/>
      <c r="D1" s="11"/>
      <c r="E1" s="11"/>
      <c r="F1" s="11"/>
      <c r="G1" s="11"/>
    </row>
    <row r="3" customFormat="false" ht="15" hidden="false" customHeight="true" outlineLevel="0" collapsed="false">
      <c r="A3" s="12" t="s">
        <v>86</v>
      </c>
      <c r="B3" s="12" t="s">
        <v>87</v>
      </c>
      <c r="C3" s="12" t="s">
        <v>88</v>
      </c>
    </row>
    <row r="4" customFormat="false" ht="19.5" hidden="false" customHeight="true" outlineLevel="0" collapsed="false">
      <c r="A4" s="13" t="s">
        <v>89</v>
      </c>
      <c r="B4" s="14" t="str">
        <f aca="false">'Journal de collecte'!A38</f>
        <v>02/04/2026</v>
      </c>
      <c r="C4" s="7" t="n">
        <f aca="false">COUNTA('Journal de collecte'!A4:A38)</f>
        <v>35</v>
      </c>
    </row>
    <row r="5" customFormat="false" ht="19.5" hidden="false" customHeight="true" outlineLevel="0" collapsed="false">
      <c r="A5" s="15" t="s">
        <v>90</v>
      </c>
      <c r="B5" s="16" t="n">
        <f aca="false">COUNTIF('Journal de collecte'!E4:E38,1)</f>
        <v>23</v>
      </c>
      <c r="C5" s="10" t="n">
        <f aca="false">COUNTIF(E4:E38,1)</f>
        <v>0</v>
      </c>
    </row>
    <row r="6" customFormat="false" ht="19.5" hidden="false" customHeight="true" outlineLevel="0" collapsed="false">
      <c r="A6" s="13" t="s">
        <v>91</v>
      </c>
      <c r="B6" s="14" t="n">
        <f aca="false">COUNTIF('Journal de collecte'!E4:E38,0)</f>
        <v>12</v>
      </c>
      <c r="C6" s="7" t="n">
        <f aca="false">COUNTIF(E4:E38,0)</f>
        <v>0</v>
      </c>
    </row>
    <row r="7" customFormat="false" ht="19.5" hidden="false" customHeight="true" outlineLevel="0" collapsed="false">
      <c r="A7" s="15" t="s">
        <v>92</v>
      </c>
      <c r="B7" s="17" t="n">
        <f aca="false">IFERROR(COUNTIF('Journal de collecte'!E4:E38,1)/COUNTA('Journal de collecte'!E4:E38)*100,0)</f>
        <v>65.7142857142857</v>
      </c>
      <c r="C7" s="10" t="s">
        <v>93</v>
      </c>
    </row>
    <row r="8" customFormat="false" ht="19.5" hidden="false" customHeight="true" outlineLevel="0" collapsed="false">
      <c r="A8" s="13" t="s">
        <v>94</v>
      </c>
      <c r="B8" s="18" t="n">
        <f aca="false">IFERROR(AVERAGEIF('Journal de collecte'!E4:E38,1,'Journal de collecte'!F4:F38),0)</f>
        <v>43.9130434782609</v>
      </c>
      <c r="C8" s="7" t="s">
        <v>95</v>
      </c>
    </row>
    <row r="9" customFormat="false" ht="19.5" hidden="false" customHeight="true" outlineLevel="0" collapsed="false">
      <c r="A9" s="15" t="s">
        <v>96</v>
      </c>
      <c r="B9" s="19" t="n">
        <f aca="false">IFERROR(AVERAGEIF('Journal de collecte'!E4:E38,0,'Journal de collecte'!F4:F38),0)</f>
        <v>59.8333333333333</v>
      </c>
      <c r="C9" s="10" t="s">
        <v>97</v>
      </c>
    </row>
    <row r="10" customFormat="false" ht="19.5" hidden="false" customHeight="true" outlineLevel="0" collapsed="false">
      <c r="A10" s="13" t="s">
        <v>98</v>
      </c>
      <c r="B10" s="20" t="n">
        <f aca="false">IFERROR((B9-B8)/B9*100,0)</f>
        <v>26.6077267772799</v>
      </c>
      <c r="C10" s="5" t="s">
        <v>99</v>
      </c>
    </row>
    <row r="11" customFormat="false" ht="19.5" hidden="false" customHeight="true" outlineLevel="0" collapsed="false">
      <c r="A11" s="15" t="s">
        <v>100</v>
      </c>
      <c r="B11" s="16" t="n">
        <f aca="false">IFERROR(AVERAGEIF('Journal de collecte'!E4:E38,1,'Journal de collecte'!H4:H38),0)</f>
        <v>4.12608695652174</v>
      </c>
      <c r="C11" s="10"/>
    </row>
    <row r="12" customFormat="false" ht="19.5" hidden="false" customHeight="true" outlineLevel="0" collapsed="false">
      <c r="A12" s="13" t="s">
        <v>101</v>
      </c>
      <c r="B12" s="14" t="n">
        <f aca="false">IFERROR(AVERAGEIF('Journal de collecte'!E4:E38,0,'Journal de collecte'!H4:H38),0)</f>
        <v>4.71666666666667</v>
      </c>
      <c r="C12" s="7"/>
    </row>
    <row r="13" customFormat="false" ht="19.5" hidden="false" customHeight="true" outlineLevel="0" collapsed="false">
      <c r="A13" s="15" t="s">
        <v>102</v>
      </c>
      <c r="B13" s="16" t="n">
        <f aca="false">IFERROR(AVERAGEIF('Journal de collecte'!E4:E38,1,'Journal de collecte'!K4:K38),0)</f>
        <v>3.74782608695652</v>
      </c>
      <c r="C13" s="10"/>
    </row>
    <row r="14" customFormat="false" ht="19.5" hidden="false" customHeight="true" outlineLevel="0" collapsed="false">
      <c r="A14" s="13" t="s">
        <v>103</v>
      </c>
      <c r="B14" s="14" t="n">
        <f aca="false">IFERROR(AVERAGEIF('Journal de collecte'!E4:E38,0,'Journal de collecte'!K4:K38),0)</f>
        <v>4.775</v>
      </c>
      <c r="C14" s="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60"/>
  </cols>
  <sheetData>
    <row r="1" customFormat="false" ht="25.5" hidden="false" customHeight="true" outlineLevel="0" collapsed="false">
      <c r="A1" s="11" t="s">
        <v>104</v>
      </c>
      <c r="B1" s="11"/>
      <c r="C1" s="11"/>
    </row>
    <row r="2" customFormat="false" ht="21.75" hidden="false" customHeight="true" outlineLevel="0" collapsed="false">
      <c r="A2" s="21" t="s">
        <v>105</v>
      </c>
      <c r="B2" s="21" t="s">
        <v>106</v>
      </c>
      <c r="C2" s="21" t="s">
        <v>88</v>
      </c>
    </row>
    <row r="3" customFormat="false" ht="21.75" hidden="false" customHeight="true" outlineLevel="0" collapsed="false">
      <c r="A3" s="10" t="s">
        <v>107</v>
      </c>
      <c r="B3" s="10" t="s">
        <v>15</v>
      </c>
      <c r="C3" s="10" t="s">
        <v>108</v>
      </c>
    </row>
    <row r="4" customFormat="false" ht="21.75" hidden="false" customHeight="true" outlineLevel="0" collapsed="false">
      <c r="A4" s="7"/>
      <c r="B4" s="7" t="s">
        <v>24</v>
      </c>
      <c r="C4" s="7" t="s">
        <v>109</v>
      </c>
    </row>
    <row r="5" customFormat="false" ht="21.75" hidden="false" customHeight="true" outlineLevel="0" collapsed="false">
      <c r="A5" s="10"/>
      <c r="B5" s="10" t="s">
        <v>19</v>
      </c>
      <c r="C5" s="10" t="s">
        <v>110</v>
      </c>
    </row>
    <row r="6" customFormat="false" ht="21.75" hidden="false" customHeight="true" outlineLevel="0" collapsed="false">
      <c r="A6" s="7"/>
      <c r="B6" s="7" t="s">
        <v>31</v>
      </c>
      <c r="C6" s="7" t="s">
        <v>111</v>
      </c>
    </row>
    <row r="7" customFormat="false" ht="21.75" hidden="false" customHeight="true" outlineLevel="0" collapsed="false">
      <c r="A7" s="10"/>
      <c r="B7" s="10" t="s">
        <v>26</v>
      </c>
      <c r="C7" s="10" t="s">
        <v>112</v>
      </c>
    </row>
    <row r="8" customFormat="false" ht="21.75" hidden="false" customHeight="true" outlineLevel="0" collapsed="false">
      <c r="A8" s="7" t="s">
        <v>113</v>
      </c>
      <c r="B8" s="7" t="s">
        <v>16</v>
      </c>
      <c r="C8" s="7" t="s">
        <v>114</v>
      </c>
    </row>
    <row r="9" customFormat="false" ht="21.75" hidden="false" customHeight="true" outlineLevel="0" collapsed="false">
      <c r="A9" s="10"/>
      <c r="B9" s="10" t="s">
        <v>27</v>
      </c>
      <c r="C9" s="10" t="s">
        <v>115</v>
      </c>
    </row>
    <row r="10" customFormat="false" ht="21.75" hidden="false" customHeight="true" outlineLevel="0" collapsed="false">
      <c r="A10" s="7"/>
      <c r="B10" s="7" t="s">
        <v>20</v>
      </c>
      <c r="C10" s="7" t="s">
        <v>116</v>
      </c>
    </row>
    <row r="11" customFormat="false" ht="21.75" hidden="false" customHeight="true" outlineLevel="0" collapsed="false">
      <c r="A11" s="10" t="s">
        <v>117</v>
      </c>
      <c r="B11" s="10" t="s">
        <v>118</v>
      </c>
      <c r="C11" s="10" t="s">
        <v>119</v>
      </c>
    </row>
    <row r="12" customFormat="false" ht="21.75" hidden="false" customHeight="true" outlineLevel="0" collapsed="false">
      <c r="A12" s="7"/>
      <c r="B12" s="7" t="s">
        <v>120</v>
      </c>
      <c r="C12" s="7" t="s">
        <v>121</v>
      </c>
    </row>
    <row r="13" customFormat="false" ht="21.75" hidden="false" customHeight="true" outlineLevel="0" collapsed="false">
      <c r="A13" s="10" t="s">
        <v>122</v>
      </c>
      <c r="B13" s="10" t="s">
        <v>123</v>
      </c>
      <c r="C13" s="10" t="s">
        <v>124</v>
      </c>
    </row>
    <row r="14" customFormat="false" ht="21.75" hidden="false" customHeight="true" outlineLevel="0" collapsed="false">
      <c r="A14" s="7" t="s">
        <v>125</v>
      </c>
      <c r="B14" s="7" t="s">
        <v>126</v>
      </c>
      <c r="C14" s="7" t="s">
        <v>127</v>
      </c>
    </row>
    <row r="15" customFormat="false" ht="21.75" hidden="false" customHeight="true" outlineLevel="0" collapsed="false">
      <c r="A15" s="10" t="s">
        <v>128</v>
      </c>
      <c r="B15" s="10" t="s">
        <v>126</v>
      </c>
      <c r="C15" s="10" t="s">
        <v>129</v>
      </c>
    </row>
    <row r="16" customFormat="false" ht="21.75" hidden="false" customHeight="true" outlineLevel="0" collapsed="false">
      <c r="A16" s="7" t="s">
        <v>130</v>
      </c>
      <c r="B16" s="7" t="s">
        <v>126</v>
      </c>
      <c r="C16" s="7" t="s">
        <v>131</v>
      </c>
    </row>
    <row r="17" customFormat="false" ht="21.75" hidden="false" customHeight="true" outlineLevel="0" collapsed="false">
      <c r="A17" s="10" t="s">
        <v>132</v>
      </c>
      <c r="B17" s="10" t="s">
        <v>126</v>
      </c>
      <c r="C17" s="10" t="s">
        <v>133</v>
      </c>
    </row>
    <row r="18" customFormat="false" ht="21.75" hidden="false" customHeight="true" outlineLevel="0" collapsed="false">
      <c r="A18" s="7" t="s">
        <v>134</v>
      </c>
      <c r="B18" s="7" t="s">
        <v>126</v>
      </c>
      <c r="C18" s="7" t="s">
        <v>135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2026-05-22T12:33:02Z</dcterms:created>
  <dc:creator>openpyxl</dc:creator>
  <dc:description/>
  <dc:language>en-US</dc:language>
  <cp:lastModifiedBy/>
  <dcterms:modified xsi:type="dcterms:W3CDTF">2026-05-22T13:11:38Z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